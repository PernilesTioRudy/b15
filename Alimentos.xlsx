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e0016862e841d79/Escritorio/FLOR/b15/"/>
    </mc:Choice>
  </mc:AlternateContent>
  <xr:revisionPtr revIDLastSave="140" documentId="11_F20C89A565748A30A0F20DB4C4B10064431A37A6" xr6:coauthVersionLast="47" xr6:coauthVersionMax="47" xr10:uidLastSave="{BD3A4220-5ED1-4A35-814C-3534D1570C44}"/>
  <bookViews>
    <workbookView xWindow="-120" yWindow="-120" windowWidth="20730" windowHeight="11040" activeTab="1" xr2:uid="{00000000-000D-0000-FFFF-FFFF00000000}"/>
  </bookViews>
  <sheets>
    <sheet name="Hoja 1" sheetId="1" r:id="rId1"/>
    <sheet name="Hoja1" sheetId="2" r:id="rId2"/>
  </sheets>
  <definedNames>
    <definedName name="_xlnm._FilterDatabase" localSheetId="0" hidden="1">'Hoja 1'!$A$1:$G$74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C22" i="2"/>
  <c r="C23" i="2" s="1"/>
  <c r="D23" i="2"/>
  <c r="D22" i="2"/>
  <c r="D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H16" i="2"/>
  <c r="H11" i="2"/>
</calcChain>
</file>

<file path=xl/sharedStrings.xml><?xml version="1.0" encoding="utf-8"?>
<sst xmlns="http://schemas.openxmlformats.org/spreadsheetml/2006/main" count="301" uniqueCount="144">
  <si>
    <t>Tipo</t>
  </si>
  <si>
    <t>Descripcion</t>
  </si>
  <si>
    <t>Cantidad</t>
  </si>
  <si>
    <t>Precio Mayorista</t>
  </si>
  <si>
    <t>Precio al público</t>
  </si>
  <si>
    <t>caja</t>
  </si>
  <si>
    <t>Bebidas e Infusiones</t>
  </si>
  <si>
    <t>Leches vegetales sin azúcar (almendra, coco, etc)</t>
  </si>
  <si>
    <t>PAMPA VIDA LECHE DE ALMENDRAS S/A 1 LTS</t>
  </si>
  <si>
    <t>Te Verde</t>
  </si>
  <si>
    <t>Heredia TE VERDE 25 saq</t>
  </si>
  <si>
    <t>Te Jengibre</t>
  </si>
  <si>
    <t>Heredia TE JENGIBRE 25 saq</t>
  </si>
  <si>
    <t>Te menta</t>
  </si>
  <si>
    <t>Heredia TE MENTA 25 saq</t>
  </si>
  <si>
    <t>Te Chai Liviano</t>
  </si>
  <si>
    <t>PATAGONIA TE CHAI LATA 80 GRS</t>
  </si>
  <si>
    <t>Cereales y Harinas (sin TACC)</t>
  </si>
  <si>
    <t>Arroz (cualquier tipo)</t>
  </si>
  <si>
    <t>Yin Yang ARROZ YAMANI 1 Kg</t>
  </si>
  <si>
    <t>mijo</t>
  </si>
  <si>
    <t>Yin Yang MIJO PELADO 500 grs</t>
  </si>
  <si>
    <t>quinoa</t>
  </si>
  <si>
    <t>Aiken HARINA DE QUINOA 250 grs</t>
  </si>
  <si>
    <t>fideos de arroz o maíz</t>
  </si>
  <si>
    <t>Soyarroz FIDEOS TRADICIONAL 300 grs</t>
  </si>
  <si>
    <t>polenta</t>
  </si>
  <si>
    <t>DICOMERE POLENTA ORGANICA 450 GRS</t>
  </si>
  <si>
    <t>harina de almendras</t>
  </si>
  <si>
    <t>fécula de maíz y mandioca</t>
  </si>
  <si>
    <t>TAIHANG FECULA MANDIOCA 5 KG</t>
  </si>
  <si>
    <t>harina de sorgo</t>
  </si>
  <si>
    <t>CELIDARINA HARINA DE SORGO INTEG 5 KG</t>
  </si>
  <si>
    <t>trigo sarraceno</t>
  </si>
  <si>
    <t>YIN YANG HARINA INTEG TRIGO SARRACENO 5 KG</t>
  </si>
  <si>
    <t>Condimentos y Otros</t>
  </si>
  <si>
    <t>Sal</t>
  </si>
  <si>
    <t>vinagre de manzana</t>
  </si>
  <si>
    <t>PAMPAGOURMET VINAGRE DE MANZANA ORG 250 CC</t>
  </si>
  <si>
    <t>stevia líquida</t>
  </si>
  <si>
    <t>esencia de vainilla</t>
  </si>
  <si>
    <t>bicarbonato de sodio</t>
  </si>
  <si>
    <t>DICOMERE BICARBONATO DE SODIO 200 GRS</t>
  </si>
  <si>
    <t>polvo de hornear sin TACC</t>
  </si>
  <si>
    <t>DICOMERE POLVO DE HORNEAR 250 GRS</t>
  </si>
  <si>
    <t>Especias</t>
  </si>
  <si>
    <t>jengibre</t>
  </si>
  <si>
    <t>DUSEN JENGIBRE MOLIDO 1 KG</t>
  </si>
  <si>
    <t>cúrcuma</t>
  </si>
  <si>
    <t>ALIM DEL PLATA CURCUMA POLVO 1 kg</t>
  </si>
  <si>
    <t>orégano</t>
  </si>
  <si>
    <t>DUSEN OREGANO PREMIUM 1 KG</t>
  </si>
  <si>
    <t>cilantro</t>
  </si>
  <si>
    <t>ALIM DEL PLATA CILANTRO 1 KG</t>
  </si>
  <si>
    <t>comino</t>
  </si>
  <si>
    <t>EL CASTILLO COMINO MOLIDO 50 GRS</t>
  </si>
  <si>
    <t>canela</t>
  </si>
  <si>
    <t>DUSEN CANELA MOLIDA 1 KG</t>
  </si>
  <si>
    <t>perejil</t>
  </si>
  <si>
    <t>DICOMERE PEREJIL 25 GRS</t>
  </si>
  <si>
    <t>albahaca</t>
  </si>
  <si>
    <t>DICOMERE ALBAHACA HOJAS 50 GRS</t>
  </si>
  <si>
    <t>romero</t>
  </si>
  <si>
    <t>DUSEN ROMERO POTE 50 GRS</t>
  </si>
  <si>
    <t>Frutos Secos y Semillas</t>
  </si>
  <si>
    <t>Almendras</t>
  </si>
  <si>
    <t>nueces</t>
  </si>
  <si>
    <t>castañas</t>
  </si>
  <si>
    <t>ANKAS DEL SUR CASTAÑAS DE CAJU W4 1 KG</t>
  </si>
  <si>
    <t>maní (sin sal)</t>
  </si>
  <si>
    <t>ENTRENUTS MANI TOSTADO NATURAL SIN SAL 100 GRS</t>
  </si>
  <si>
    <t>semillas de zapallo</t>
  </si>
  <si>
    <t>DUSEN SEMILLAS DE ZAPALLO 1 KG</t>
  </si>
  <si>
    <t>girasol</t>
  </si>
  <si>
    <t>YIN YANG SEMILLAS DE GIRASOL PELADAS 250 GRS</t>
  </si>
  <si>
    <t>chía</t>
  </si>
  <si>
    <t>ANKAS DEL SUR SEMILLAS DE CHIA 1 KG</t>
  </si>
  <si>
    <t>lino</t>
  </si>
  <si>
    <t>ALIM DEL PLATA SEMILLA DE LINO 1 kg</t>
  </si>
  <si>
    <t>sésamo</t>
  </si>
  <si>
    <t>ANKAS DEL SUR SESAMO BLANCO 1 KG</t>
  </si>
  <si>
    <t>Grasas y Despensa</t>
  </si>
  <si>
    <t>Aceite de oliva extra virgen</t>
  </si>
  <si>
    <t>MAYADEVI ACEITE DE OLIVA EXTRA VIRGEN PURO 250 CC</t>
  </si>
  <si>
    <t>aceite de coco</t>
  </si>
  <si>
    <t>Chiagraal ACEITE DE COCO NEUTRO 180 ml</t>
  </si>
  <si>
    <t>ghee (manteca clarificada)</t>
  </si>
  <si>
    <t>ENTRENUTS GHEE 300 GRS</t>
  </si>
  <si>
    <t>aceitunas</t>
  </si>
  <si>
    <t>VANOLI ACEITUNAS VERDE DESC DOYPACK 300 GRS</t>
  </si>
  <si>
    <t>pasta de maní (sin azúcar)</t>
  </si>
  <si>
    <t>ENTRENUTS PASTA DE MANI NATURAL 370 GRS</t>
  </si>
  <si>
    <t>Coco Rallado</t>
  </si>
  <si>
    <t>DUSEN COCO RALLADO 1 KG</t>
  </si>
  <si>
    <t>Cacao Amargo</t>
  </si>
  <si>
    <t>Proteínas</t>
  </si>
  <si>
    <t>Pollo</t>
  </si>
  <si>
    <t>pavo</t>
  </si>
  <si>
    <t>pescados frescos</t>
  </si>
  <si>
    <t>mariscos</t>
  </si>
  <si>
    <t>carne roja</t>
  </si>
  <si>
    <t>hígado</t>
  </si>
  <si>
    <t>huevos (hasta 4/día)</t>
  </si>
  <si>
    <t>tofu</t>
  </si>
  <si>
    <t>caldo de hueso</t>
  </si>
  <si>
    <t>Verduras</t>
  </si>
  <si>
    <t>Acelga</t>
  </si>
  <si>
    <t>achicoria</t>
  </si>
  <si>
    <t>batata</t>
  </si>
  <si>
    <t>berenjena</t>
  </si>
  <si>
    <t>brócoli (solo flores)</t>
  </si>
  <si>
    <t>chaucha</t>
  </si>
  <si>
    <t>hongos</t>
  </si>
  <si>
    <t>mandioca</t>
  </si>
  <si>
    <t>palta</t>
  </si>
  <si>
    <t>papa</t>
  </si>
  <si>
    <t>rúcula</t>
  </si>
  <si>
    <t>tomate (redondo o cherry)</t>
  </si>
  <si>
    <t>zanahoria</t>
  </si>
  <si>
    <t>zapallito de tronco</t>
  </si>
  <si>
    <t>zapallo cabutia</t>
  </si>
  <si>
    <t>zucchini</t>
  </si>
  <si>
    <t>x</t>
  </si>
  <si>
    <t>DICOMERE CACAO AMARGO PURO 200 GRS</t>
  </si>
  <si>
    <t>Arroz blanco</t>
  </si>
  <si>
    <t>Luchetti 500 grs</t>
  </si>
  <si>
    <t>Dulri STEVIADULRI LIQUIDO 120 cc</t>
  </si>
  <si>
    <t>Discos de arroz</t>
  </si>
  <si>
    <t>Dos Hermanos</t>
  </si>
  <si>
    <t>Nueces</t>
  </si>
  <si>
    <t>Mayorista Cipo 1kg</t>
  </si>
  <si>
    <t>Mayorista Cipo 400 grs</t>
  </si>
  <si>
    <t>CUARTO CRECIENTE MERMELADA C/STEVIA FRUTILLA 280 GRS</t>
  </si>
  <si>
    <t>1 doc</t>
  </si>
  <si>
    <t>huevos</t>
  </si>
  <si>
    <t>medio kg</t>
  </si>
  <si>
    <t>200 grs</t>
  </si>
  <si>
    <t>Argendiet SAL MARINA FINA 500 grs MACROZEN</t>
  </si>
  <si>
    <t>Mermelada</t>
  </si>
  <si>
    <t>Ghee</t>
  </si>
  <si>
    <t>DUSEN COCO RALLADO 1/2 KG</t>
  </si>
  <si>
    <t>Valor de la caja</t>
  </si>
  <si>
    <t>Valor x 100 cajas</t>
  </si>
  <si>
    <t>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</si>
</sst>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0"/>
      <color theme="1"/>
      <name val="Arial"/>
      <scheme val="minor"/>
    </font>
    <font>
      <b/>
      <sz val="11"/>
      <color rgb="FF303030"/>
      <name val="Arial"/>
    </font>
    <font>
      <sz val="11"/>
      <color rgb="FF303030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  <family val="2"/>
      <scheme val="minor"/>
    </font>
    <font>
      <sz val="11"/>
      <color rgb="FF3030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1" fillId="2" borderId="3" xfId="0" applyFont="1" applyFill="1" applyBorder="1"/>
    <xf numFmtId="0" fontId="2" fillId="0" borderId="0" xfId="0" applyFont="1"/>
    <xf numFmtId="0" fontId="3" fillId="3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0" xfId="0" applyFont="1"/>
    <xf numFmtId="0" fontId="6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4" fillId="3" borderId="2" xfId="0" applyFont="1" applyFill="1" applyBorder="1"/>
    <xf numFmtId="0" fontId="7" fillId="0" borderId="0" xfId="0" applyFont="1"/>
    <xf numFmtId="0" fontId="5" fillId="0" borderId="3" xfId="0" applyFont="1" applyFill="1" applyBorder="1"/>
    <xf numFmtId="0" fontId="5" fillId="0" borderId="3" xfId="0" applyFont="1" applyFill="1" applyBorder="1" applyAlignment="1">
      <alignment horizontal="right"/>
    </xf>
    <xf numFmtId="0" fontId="8" fillId="3" borderId="1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16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H79"/>
  <sheetViews>
    <sheetView topLeftCell="B20" workbookViewId="0">
      <selection activeCell="B1" sqref="B1:H79"/>
    </sheetView>
  </sheetViews>
  <sheetFormatPr baseColWidth="10" defaultColWidth="12.5703125" defaultRowHeight="15.75" customHeight="1"/>
  <cols>
    <col min="1" max="1" width="27.28515625" customWidth="1"/>
    <col min="2" max="2" width="41.85546875" customWidth="1"/>
    <col min="4" max="5" width="15.5703125" customWidth="1"/>
    <col min="6" max="6" width="52.85546875" customWidth="1"/>
  </cols>
  <sheetData>
    <row r="1" spans="1:7" ht="15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G1" s="5" t="s">
        <v>5</v>
      </c>
    </row>
    <row r="2" spans="1:7" ht="15.75" customHeight="1">
      <c r="A2" s="6" t="s">
        <v>6</v>
      </c>
      <c r="B2" s="7" t="s">
        <v>7</v>
      </c>
      <c r="C2" s="8">
        <v>1</v>
      </c>
      <c r="D2" s="9">
        <v>3505</v>
      </c>
      <c r="E2" s="8"/>
      <c r="F2" s="10" t="s">
        <v>8</v>
      </c>
      <c r="G2" s="15" t="s">
        <v>122</v>
      </c>
    </row>
    <row r="3" spans="1:7" ht="15.75" hidden="1" customHeight="1">
      <c r="A3" s="6" t="s">
        <v>6</v>
      </c>
      <c r="B3" s="8" t="s">
        <v>9</v>
      </c>
      <c r="C3" s="8"/>
      <c r="D3" s="9">
        <v>4854</v>
      </c>
      <c r="E3" s="8"/>
      <c r="F3" s="10" t="s">
        <v>10</v>
      </c>
    </row>
    <row r="4" spans="1:7" ht="15.75" hidden="1" customHeight="1">
      <c r="A4" s="6" t="s">
        <v>6</v>
      </c>
      <c r="B4" s="8" t="s">
        <v>11</v>
      </c>
      <c r="C4" s="8"/>
      <c r="D4" s="9">
        <v>5623</v>
      </c>
      <c r="E4" s="8"/>
      <c r="F4" s="10" t="s">
        <v>12</v>
      </c>
    </row>
    <row r="5" spans="1:7" ht="15.75" hidden="1" customHeight="1">
      <c r="A5" s="6" t="s">
        <v>6</v>
      </c>
      <c r="B5" s="8" t="s">
        <v>13</v>
      </c>
      <c r="C5" s="8"/>
      <c r="D5" s="9">
        <v>4988</v>
      </c>
      <c r="E5" s="8"/>
      <c r="F5" s="10" t="s">
        <v>14</v>
      </c>
    </row>
    <row r="6" spans="1:7" ht="15.75" hidden="1" customHeight="1">
      <c r="A6" s="6" t="s">
        <v>6</v>
      </c>
      <c r="B6" s="8" t="s">
        <v>15</v>
      </c>
      <c r="C6" s="8"/>
      <c r="D6" s="9">
        <v>15748</v>
      </c>
      <c r="E6" s="8"/>
      <c r="F6" s="10" t="s">
        <v>16</v>
      </c>
    </row>
    <row r="7" spans="1:7" ht="15.75" customHeight="1">
      <c r="A7" s="6" t="s">
        <v>17</v>
      </c>
      <c r="B7" s="7" t="s">
        <v>18</v>
      </c>
      <c r="C7" s="8">
        <v>1</v>
      </c>
      <c r="D7" s="11">
        <v>3932</v>
      </c>
      <c r="E7" s="8"/>
      <c r="F7" s="10" t="s">
        <v>19</v>
      </c>
      <c r="G7" s="15" t="s">
        <v>122</v>
      </c>
    </row>
    <row r="8" spans="1:7" ht="15.75" customHeight="1">
      <c r="A8" s="6" t="s">
        <v>17</v>
      </c>
      <c r="B8" s="16" t="s">
        <v>124</v>
      </c>
      <c r="C8">
        <v>1</v>
      </c>
      <c r="D8" s="17">
        <v>1500</v>
      </c>
      <c r="F8" s="10" t="s">
        <v>125</v>
      </c>
      <c r="G8" s="15" t="s">
        <v>122</v>
      </c>
    </row>
    <row r="9" spans="1:7" ht="15.75" hidden="1" customHeight="1">
      <c r="A9" s="6" t="s">
        <v>17</v>
      </c>
      <c r="B9" s="8" t="s">
        <v>20</v>
      </c>
      <c r="C9" s="8"/>
      <c r="D9" s="9">
        <v>2042</v>
      </c>
      <c r="E9" s="8"/>
      <c r="F9" s="10" t="s">
        <v>21</v>
      </c>
    </row>
    <row r="10" spans="1:7" ht="15.75" hidden="1" customHeight="1">
      <c r="A10" s="6" t="s">
        <v>17</v>
      </c>
      <c r="B10" s="8" t="s">
        <v>22</v>
      </c>
      <c r="C10" s="8"/>
      <c r="D10" s="9">
        <v>5309</v>
      </c>
      <c r="E10" s="8"/>
      <c r="F10" s="10" t="s">
        <v>23</v>
      </c>
    </row>
    <row r="11" spans="1:7" ht="15.75" customHeight="1">
      <c r="A11" s="6" t="s">
        <v>17</v>
      </c>
      <c r="B11" s="8" t="s">
        <v>24</v>
      </c>
      <c r="C11" s="8">
        <v>1</v>
      </c>
      <c r="D11" s="9">
        <v>2581</v>
      </c>
      <c r="E11" s="8"/>
      <c r="F11" s="10" t="s">
        <v>25</v>
      </c>
      <c r="G11" s="15" t="s">
        <v>122</v>
      </c>
    </row>
    <row r="12" spans="1:7" ht="15.75" customHeight="1">
      <c r="A12" s="6" t="s">
        <v>17</v>
      </c>
      <c r="B12" s="8" t="s">
        <v>26</v>
      </c>
      <c r="C12" s="8">
        <v>1</v>
      </c>
      <c r="D12" s="9">
        <v>1263</v>
      </c>
      <c r="E12" s="8"/>
      <c r="F12" s="10" t="s">
        <v>27</v>
      </c>
      <c r="G12" s="15" t="s">
        <v>122</v>
      </c>
    </row>
    <row r="13" spans="1:7" ht="15.75" hidden="1" customHeight="1">
      <c r="A13" s="6" t="s">
        <v>17</v>
      </c>
      <c r="B13" s="8" t="s">
        <v>28</v>
      </c>
      <c r="C13" s="8"/>
      <c r="D13" s="9">
        <v>32000</v>
      </c>
      <c r="E13" s="8"/>
      <c r="F13" s="10" t="s">
        <v>130</v>
      </c>
    </row>
    <row r="14" spans="1:7" ht="15.75" hidden="1" customHeight="1">
      <c r="A14" s="6" t="s">
        <v>17</v>
      </c>
      <c r="B14" s="8" t="s">
        <v>29</v>
      </c>
      <c r="C14" s="8"/>
      <c r="D14" s="9">
        <v>10781</v>
      </c>
      <c r="E14" s="8"/>
      <c r="F14" s="10" t="s">
        <v>30</v>
      </c>
    </row>
    <row r="15" spans="1:7" ht="15.75" hidden="1" customHeight="1">
      <c r="A15" s="6" t="s">
        <v>17</v>
      </c>
      <c r="B15" s="8" t="s">
        <v>31</v>
      </c>
      <c r="C15" s="8"/>
      <c r="D15" s="9">
        <v>13836</v>
      </c>
      <c r="E15" s="8"/>
      <c r="F15" s="10" t="s">
        <v>32</v>
      </c>
    </row>
    <row r="16" spans="1:7" ht="15.75" hidden="1" customHeight="1">
      <c r="A16" s="6" t="s">
        <v>17</v>
      </c>
      <c r="B16" s="8" t="s">
        <v>33</v>
      </c>
      <c r="C16" s="8"/>
      <c r="D16" s="9">
        <v>31846</v>
      </c>
      <c r="E16" s="8"/>
      <c r="F16" s="10" t="s">
        <v>34</v>
      </c>
    </row>
    <row r="17" spans="1:7" ht="15.75" customHeight="1">
      <c r="A17" s="6" t="s">
        <v>17</v>
      </c>
      <c r="B17" s="16" t="s">
        <v>127</v>
      </c>
      <c r="C17">
        <v>1</v>
      </c>
      <c r="D17" s="17">
        <v>1300</v>
      </c>
      <c r="F17" s="10" t="s">
        <v>128</v>
      </c>
      <c r="G17" s="15" t="s">
        <v>122</v>
      </c>
    </row>
    <row r="18" spans="1:7" ht="15.75" hidden="1" customHeight="1">
      <c r="A18" s="6" t="s">
        <v>35</v>
      </c>
      <c r="B18" s="7" t="s">
        <v>36</v>
      </c>
      <c r="C18" s="8"/>
      <c r="D18" s="8"/>
      <c r="E18" s="8"/>
      <c r="F18" s="10"/>
    </row>
    <row r="19" spans="1:7" ht="15.75" customHeight="1">
      <c r="A19" s="6" t="s">
        <v>35</v>
      </c>
      <c r="B19" s="8" t="s">
        <v>37</v>
      </c>
      <c r="C19" s="8">
        <v>1</v>
      </c>
      <c r="D19" s="9">
        <v>5117</v>
      </c>
      <c r="E19" s="8"/>
      <c r="F19" s="10" t="s">
        <v>38</v>
      </c>
      <c r="G19" s="15" t="s">
        <v>122</v>
      </c>
    </row>
    <row r="20" spans="1:7" ht="15">
      <c r="A20" s="6" t="s">
        <v>35</v>
      </c>
      <c r="B20" s="8" t="s">
        <v>39</v>
      </c>
      <c r="C20" s="8">
        <v>1</v>
      </c>
      <c r="D20" s="9">
        <v>5019</v>
      </c>
      <c r="E20" s="8"/>
      <c r="F20" s="10" t="s">
        <v>126</v>
      </c>
      <c r="G20" s="15" t="s">
        <v>122</v>
      </c>
    </row>
    <row r="21" spans="1:7" ht="15" hidden="1">
      <c r="A21" s="6" t="s">
        <v>35</v>
      </c>
      <c r="B21" s="8" t="s">
        <v>40</v>
      </c>
      <c r="C21" s="8"/>
      <c r="D21" s="8"/>
      <c r="E21" s="8"/>
      <c r="F21" s="10"/>
    </row>
    <row r="22" spans="1:7" ht="15" hidden="1">
      <c r="A22" s="6" t="s">
        <v>35</v>
      </c>
      <c r="B22" s="8" t="s">
        <v>41</v>
      </c>
      <c r="C22" s="8"/>
      <c r="D22" s="9">
        <v>1598</v>
      </c>
      <c r="E22" s="8"/>
      <c r="F22" s="10" t="s">
        <v>42</v>
      </c>
    </row>
    <row r="23" spans="1:7" ht="15">
      <c r="A23" s="6" t="s">
        <v>35</v>
      </c>
      <c r="B23" s="8" t="s">
        <v>43</v>
      </c>
      <c r="C23" s="8">
        <v>1</v>
      </c>
      <c r="D23" s="9">
        <v>2791</v>
      </c>
      <c r="E23" s="8"/>
      <c r="F23" s="10" t="s">
        <v>44</v>
      </c>
      <c r="G23" s="15" t="s">
        <v>122</v>
      </c>
    </row>
    <row r="24" spans="1:7" ht="15" hidden="1">
      <c r="A24" s="6" t="s">
        <v>45</v>
      </c>
      <c r="B24" s="7" t="s">
        <v>46</v>
      </c>
      <c r="C24" s="8"/>
      <c r="D24" s="9">
        <v>16091</v>
      </c>
      <c r="E24" s="8"/>
      <c r="F24" s="10" t="s">
        <v>47</v>
      </c>
    </row>
    <row r="25" spans="1:7" ht="15" hidden="1">
      <c r="A25" s="6" t="s">
        <v>45</v>
      </c>
      <c r="B25" s="8" t="s">
        <v>48</v>
      </c>
      <c r="C25" s="8"/>
      <c r="D25" s="9">
        <v>12191</v>
      </c>
      <c r="E25" s="8"/>
      <c r="F25" s="10" t="s">
        <v>49</v>
      </c>
    </row>
    <row r="26" spans="1:7" ht="15" hidden="1">
      <c r="A26" s="6" t="s">
        <v>45</v>
      </c>
      <c r="B26" s="8" t="s">
        <v>50</v>
      </c>
      <c r="C26" s="8"/>
      <c r="D26" s="9">
        <v>8544</v>
      </c>
      <c r="E26" s="8"/>
      <c r="F26" s="10" t="s">
        <v>51</v>
      </c>
    </row>
    <row r="27" spans="1:7" ht="15" hidden="1">
      <c r="A27" s="6" t="s">
        <v>45</v>
      </c>
      <c r="B27" s="8" t="s">
        <v>52</v>
      </c>
      <c r="C27" s="8"/>
      <c r="D27" s="9">
        <v>7843</v>
      </c>
      <c r="E27" s="8"/>
      <c r="F27" s="10" t="s">
        <v>53</v>
      </c>
    </row>
    <row r="28" spans="1:7" ht="15" hidden="1">
      <c r="A28" s="6" t="s">
        <v>45</v>
      </c>
      <c r="B28" s="8" t="s">
        <v>54</v>
      </c>
      <c r="C28" s="8"/>
      <c r="D28" s="9">
        <v>3676</v>
      </c>
      <c r="E28" s="8"/>
      <c r="F28" s="10" t="s">
        <v>55</v>
      </c>
    </row>
    <row r="29" spans="1:7" ht="15" hidden="1">
      <c r="A29" s="6" t="s">
        <v>45</v>
      </c>
      <c r="B29" s="8" t="s">
        <v>56</v>
      </c>
      <c r="C29" s="8"/>
      <c r="D29" s="9">
        <v>18361</v>
      </c>
      <c r="E29" s="8"/>
      <c r="F29" s="10" t="s">
        <v>57</v>
      </c>
    </row>
    <row r="30" spans="1:7" ht="15" hidden="1">
      <c r="A30" s="6" t="s">
        <v>45</v>
      </c>
      <c r="B30" s="8" t="s">
        <v>58</v>
      </c>
      <c r="C30" s="8"/>
      <c r="D30" s="9">
        <v>1669</v>
      </c>
      <c r="E30" s="8"/>
      <c r="F30" s="10" t="s">
        <v>59</v>
      </c>
    </row>
    <row r="31" spans="1:7" ht="15" hidden="1">
      <c r="A31" s="6" t="s">
        <v>45</v>
      </c>
      <c r="B31" s="8" t="s">
        <v>60</v>
      </c>
      <c r="C31" s="8"/>
      <c r="D31" s="9">
        <v>563</v>
      </c>
      <c r="E31" s="8"/>
      <c r="F31" s="10" t="s">
        <v>61</v>
      </c>
    </row>
    <row r="32" spans="1:7" ht="15" hidden="1">
      <c r="A32" s="6" t="s">
        <v>45</v>
      </c>
      <c r="B32" s="8" t="s">
        <v>62</v>
      </c>
      <c r="C32" s="8"/>
      <c r="D32" s="9">
        <v>3578</v>
      </c>
      <c r="E32" s="8"/>
      <c r="F32" s="10" t="s">
        <v>63</v>
      </c>
    </row>
    <row r="33" spans="1:8" ht="15" hidden="1">
      <c r="A33" s="6" t="s">
        <v>64</v>
      </c>
      <c r="B33" s="7" t="s">
        <v>65</v>
      </c>
      <c r="C33" s="8"/>
      <c r="D33" s="9">
        <v>32000</v>
      </c>
      <c r="E33" s="8"/>
      <c r="F33" s="10" t="s">
        <v>130</v>
      </c>
      <c r="H33" s="15" t="s">
        <v>136</v>
      </c>
    </row>
    <row r="34" spans="1:8" ht="15" hidden="1">
      <c r="A34" s="6" t="s">
        <v>64</v>
      </c>
      <c r="B34" s="8" t="s">
        <v>66</v>
      </c>
      <c r="C34" s="8"/>
      <c r="D34" s="9">
        <v>32000</v>
      </c>
      <c r="E34" s="8"/>
      <c r="F34" s="10" t="s">
        <v>130</v>
      </c>
      <c r="H34" s="15" t="s">
        <v>136</v>
      </c>
    </row>
    <row r="35" spans="1:8" ht="15" hidden="1">
      <c r="A35" s="6" t="s">
        <v>64</v>
      </c>
      <c r="B35" s="8" t="s">
        <v>67</v>
      </c>
      <c r="C35" s="8"/>
      <c r="D35" s="9">
        <v>20548</v>
      </c>
      <c r="E35" s="8"/>
      <c r="F35" s="10" t="s">
        <v>68</v>
      </c>
    </row>
    <row r="36" spans="1:8" ht="15" hidden="1">
      <c r="A36" s="6" t="s">
        <v>64</v>
      </c>
      <c r="B36" s="8" t="s">
        <v>69</v>
      </c>
      <c r="C36" s="8"/>
      <c r="D36" s="9">
        <v>760</v>
      </c>
      <c r="E36" s="8"/>
      <c r="F36" s="10" t="s">
        <v>70</v>
      </c>
    </row>
    <row r="37" spans="1:8" ht="15">
      <c r="A37" s="6" t="s">
        <v>64</v>
      </c>
      <c r="B37" s="8" t="s">
        <v>71</v>
      </c>
      <c r="C37" s="8">
        <v>1</v>
      </c>
      <c r="D37" s="9">
        <v>19099</v>
      </c>
      <c r="E37" s="8"/>
      <c r="F37" s="10" t="s">
        <v>72</v>
      </c>
      <c r="G37" s="15" t="s">
        <v>122</v>
      </c>
      <c r="H37" s="15" t="s">
        <v>136</v>
      </c>
    </row>
    <row r="38" spans="1:8" ht="15" hidden="1">
      <c r="A38" s="6" t="s">
        <v>64</v>
      </c>
      <c r="B38" s="8" t="s">
        <v>73</v>
      </c>
      <c r="C38" s="8"/>
      <c r="D38" s="9">
        <v>1732</v>
      </c>
      <c r="E38" s="8"/>
      <c r="F38" s="10" t="s">
        <v>74</v>
      </c>
    </row>
    <row r="39" spans="1:8" ht="15" hidden="1">
      <c r="A39" s="6" t="s">
        <v>64</v>
      </c>
      <c r="B39" s="8" t="s">
        <v>75</v>
      </c>
      <c r="C39" s="8"/>
      <c r="D39" s="9">
        <v>9052</v>
      </c>
      <c r="E39" s="8"/>
      <c r="F39" s="10" t="s">
        <v>76</v>
      </c>
    </row>
    <row r="40" spans="1:8" ht="15" hidden="1">
      <c r="A40" s="6" t="s">
        <v>64</v>
      </c>
      <c r="B40" s="8" t="s">
        <v>77</v>
      </c>
      <c r="C40" s="8"/>
      <c r="D40" s="9">
        <v>3240</v>
      </c>
      <c r="E40" s="8"/>
      <c r="F40" s="10" t="s">
        <v>78</v>
      </c>
    </row>
    <row r="41" spans="1:8" ht="15" hidden="1">
      <c r="A41" s="6" t="s">
        <v>64</v>
      </c>
      <c r="B41" s="8" t="s">
        <v>79</v>
      </c>
      <c r="C41" s="8"/>
      <c r="D41" s="9">
        <v>8450</v>
      </c>
      <c r="E41" s="8"/>
      <c r="F41" s="10" t="s">
        <v>80</v>
      </c>
    </row>
    <row r="42" spans="1:8" ht="15">
      <c r="A42" s="6" t="s">
        <v>81</v>
      </c>
      <c r="B42" s="7" t="s">
        <v>82</v>
      </c>
      <c r="C42" s="8">
        <v>1</v>
      </c>
      <c r="D42" s="9">
        <v>10585</v>
      </c>
      <c r="E42" s="8"/>
      <c r="F42" s="10" t="s">
        <v>83</v>
      </c>
      <c r="G42" t="s">
        <v>122</v>
      </c>
    </row>
    <row r="43" spans="1:8" ht="15">
      <c r="A43" s="6" t="s">
        <v>81</v>
      </c>
      <c r="B43" s="8" t="s">
        <v>84</v>
      </c>
      <c r="C43" s="8">
        <v>1</v>
      </c>
      <c r="D43" s="9">
        <v>5528</v>
      </c>
      <c r="E43" s="8"/>
      <c r="F43" s="10" t="s">
        <v>85</v>
      </c>
      <c r="G43" s="15" t="s">
        <v>122</v>
      </c>
    </row>
    <row r="44" spans="1:8" ht="15" hidden="1">
      <c r="A44" s="6" t="s">
        <v>81</v>
      </c>
      <c r="B44" s="8" t="s">
        <v>86</v>
      </c>
      <c r="C44" s="8"/>
      <c r="D44" s="9">
        <v>11149</v>
      </c>
      <c r="E44" s="8"/>
      <c r="F44" s="10" t="s">
        <v>87</v>
      </c>
      <c r="G44" t="s">
        <v>122</v>
      </c>
    </row>
    <row r="45" spans="1:8" ht="15">
      <c r="A45" s="6" t="s">
        <v>81</v>
      </c>
      <c r="B45" s="8" t="s">
        <v>88</v>
      </c>
      <c r="C45" s="8">
        <v>1</v>
      </c>
      <c r="D45" s="9">
        <v>2074</v>
      </c>
      <c r="E45" s="8"/>
      <c r="F45" s="10" t="s">
        <v>89</v>
      </c>
      <c r="G45" s="15" t="s">
        <v>122</v>
      </c>
    </row>
    <row r="46" spans="1:8" ht="15">
      <c r="A46" s="6" t="s">
        <v>81</v>
      </c>
      <c r="B46" s="8" t="s">
        <v>90</v>
      </c>
      <c r="C46" s="8">
        <v>1</v>
      </c>
      <c r="D46" s="9">
        <v>2728</v>
      </c>
      <c r="E46" s="8"/>
      <c r="F46" s="10" t="s">
        <v>91</v>
      </c>
      <c r="G46" s="15" t="s">
        <v>122</v>
      </c>
    </row>
    <row r="47" spans="1:8" ht="15">
      <c r="A47" s="6" t="s">
        <v>81</v>
      </c>
      <c r="B47" s="8" t="s">
        <v>92</v>
      </c>
      <c r="C47" s="8">
        <v>1</v>
      </c>
      <c r="D47" s="9">
        <v>15012</v>
      </c>
      <c r="E47" s="8"/>
      <c r="F47" s="10" t="s">
        <v>93</v>
      </c>
      <c r="G47" s="15" t="s">
        <v>122</v>
      </c>
      <c r="H47" s="21" t="s">
        <v>135</v>
      </c>
    </row>
    <row r="48" spans="1:8" ht="15">
      <c r="A48" s="6" t="s">
        <v>81</v>
      </c>
      <c r="B48" s="8" t="s">
        <v>94</v>
      </c>
      <c r="C48" s="8">
        <v>1</v>
      </c>
      <c r="D48" s="9">
        <v>5577</v>
      </c>
      <c r="E48" s="8"/>
      <c r="F48" s="10" t="s">
        <v>123</v>
      </c>
      <c r="G48" s="15" t="s">
        <v>122</v>
      </c>
    </row>
    <row r="49" spans="1:6" ht="15" hidden="1">
      <c r="A49" s="6" t="s">
        <v>95</v>
      </c>
      <c r="B49" s="7" t="s">
        <v>96</v>
      </c>
      <c r="C49" s="8"/>
      <c r="D49" s="8"/>
      <c r="E49" s="8"/>
      <c r="F49" s="10"/>
    </row>
    <row r="50" spans="1:6" ht="15" hidden="1">
      <c r="A50" s="6" t="s">
        <v>95</v>
      </c>
      <c r="B50" s="8" t="s">
        <v>97</v>
      </c>
      <c r="C50" s="8"/>
      <c r="D50" s="8"/>
      <c r="E50" s="8"/>
      <c r="F50" s="10"/>
    </row>
    <row r="51" spans="1:6" ht="15" hidden="1">
      <c r="A51" s="6" t="s">
        <v>95</v>
      </c>
      <c r="B51" s="8" t="s">
        <v>98</v>
      </c>
      <c r="C51" s="8"/>
      <c r="D51" s="8"/>
      <c r="E51" s="8"/>
      <c r="F51" s="10"/>
    </row>
    <row r="52" spans="1:6" ht="15" hidden="1">
      <c r="A52" s="6" t="s">
        <v>95</v>
      </c>
      <c r="B52" s="8" t="s">
        <v>99</v>
      </c>
      <c r="C52" s="8"/>
      <c r="D52" s="8"/>
      <c r="E52" s="8"/>
      <c r="F52" s="10"/>
    </row>
    <row r="53" spans="1:6" ht="15" hidden="1">
      <c r="A53" s="6" t="s">
        <v>95</v>
      </c>
      <c r="B53" s="8" t="s">
        <v>100</v>
      </c>
      <c r="C53" s="8"/>
      <c r="D53" s="8"/>
      <c r="E53" s="8"/>
      <c r="F53" s="10"/>
    </row>
    <row r="54" spans="1:6" ht="15" hidden="1">
      <c r="A54" s="6" t="s">
        <v>95</v>
      </c>
      <c r="B54" s="8" t="s">
        <v>101</v>
      </c>
      <c r="C54" s="8"/>
      <c r="D54" s="8"/>
      <c r="E54" s="8"/>
      <c r="F54" s="10"/>
    </row>
    <row r="55" spans="1:6" ht="15" hidden="1">
      <c r="A55" s="6" t="s">
        <v>95</v>
      </c>
      <c r="B55" s="8" t="s">
        <v>102</v>
      </c>
      <c r="C55" s="8"/>
      <c r="D55" s="8"/>
      <c r="E55" s="8"/>
      <c r="F55" s="10"/>
    </row>
    <row r="56" spans="1:6" ht="15" hidden="1">
      <c r="A56" s="6" t="s">
        <v>95</v>
      </c>
      <c r="B56" s="8" t="s">
        <v>103</v>
      </c>
      <c r="C56" s="8"/>
      <c r="D56" s="8"/>
      <c r="E56" s="8"/>
      <c r="F56" s="10"/>
    </row>
    <row r="57" spans="1:6" ht="15" hidden="1">
      <c r="A57" s="6" t="s">
        <v>95</v>
      </c>
      <c r="B57" s="12" t="s">
        <v>104</v>
      </c>
      <c r="C57" s="10"/>
      <c r="D57" s="13"/>
      <c r="E57" s="10"/>
      <c r="F57" s="10"/>
    </row>
    <row r="58" spans="1:6" ht="15" hidden="1">
      <c r="A58" s="6" t="s">
        <v>105</v>
      </c>
      <c r="B58" s="14" t="s">
        <v>106</v>
      </c>
      <c r="C58" s="10"/>
      <c r="D58" s="13"/>
      <c r="E58" s="10"/>
      <c r="F58" s="10"/>
    </row>
    <row r="59" spans="1:6" ht="15" hidden="1">
      <c r="A59" s="6" t="s">
        <v>105</v>
      </c>
      <c r="B59" s="8" t="s">
        <v>107</v>
      </c>
      <c r="C59" s="8"/>
      <c r="D59" s="8"/>
      <c r="E59" s="8"/>
      <c r="F59" s="10"/>
    </row>
    <row r="60" spans="1:6" ht="15" hidden="1">
      <c r="A60" s="6" t="s">
        <v>105</v>
      </c>
      <c r="B60" s="8" t="s">
        <v>108</v>
      </c>
      <c r="C60" s="8"/>
      <c r="D60" s="8"/>
      <c r="E60" s="8"/>
      <c r="F60" s="10"/>
    </row>
    <row r="61" spans="1:6" ht="15" hidden="1">
      <c r="A61" s="6" t="s">
        <v>105</v>
      </c>
      <c r="B61" s="8" t="s">
        <v>109</v>
      </c>
      <c r="C61" s="8"/>
      <c r="D61" s="8"/>
      <c r="E61" s="8"/>
      <c r="F61" s="10"/>
    </row>
    <row r="62" spans="1:6" ht="15" hidden="1">
      <c r="A62" s="6" t="s">
        <v>105</v>
      </c>
      <c r="B62" s="8" t="s">
        <v>110</v>
      </c>
      <c r="C62" s="8"/>
      <c r="D62" s="8"/>
      <c r="E62" s="8"/>
      <c r="F62" s="10"/>
    </row>
    <row r="63" spans="1:6" ht="15" hidden="1">
      <c r="A63" s="6" t="s">
        <v>105</v>
      </c>
      <c r="B63" s="8" t="s">
        <v>111</v>
      </c>
      <c r="C63" s="8"/>
      <c r="D63" s="8"/>
      <c r="E63" s="8"/>
      <c r="F63" s="10"/>
    </row>
    <row r="64" spans="1:6" ht="15" hidden="1">
      <c r="A64" s="6" t="s">
        <v>105</v>
      </c>
      <c r="B64" s="8" t="s">
        <v>112</v>
      </c>
      <c r="C64" s="8"/>
      <c r="D64" s="8"/>
      <c r="E64" s="8"/>
      <c r="F64" s="10"/>
    </row>
    <row r="65" spans="1:7" ht="15" hidden="1">
      <c r="A65" s="6" t="s">
        <v>105</v>
      </c>
      <c r="B65" s="8" t="s">
        <v>113</v>
      </c>
      <c r="C65" s="8"/>
      <c r="D65" s="8"/>
      <c r="E65" s="8"/>
      <c r="F65" s="10"/>
    </row>
    <row r="66" spans="1:7" ht="15" hidden="1">
      <c r="A66" s="6" t="s">
        <v>105</v>
      </c>
      <c r="B66" s="8" t="s">
        <v>114</v>
      </c>
      <c r="C66" s="8"/>
      <c r="D66" s="8"/>
      <c r="E66" s="8"/>
      <c r="F66" s="10"/>
    </row>
    <row r="67" spans="1:7" ht="15" hidden="1">
      <c r="A67" s="6" t="s">
        <v>105</v>
      </c>
      <c r="B67" s="8" t="s">
        <v>115</v>
      </c>
      <c r="C67" s="8"/>
      <c r="D67" s="8"/>
      <c r="E67" s="8"/>
      <c r="F67" s="10"/>
    </row>
    <row r="68" spans="1:7" ht="15" hidden="1">
      <c r="A68" s="6" t="s">
        <v>105</v>
      </c>
      <c r="B68" s="8" t="s">
        <v>116</v>
      </c>
      <c r="C68" s="8"/>
      <c r="D68" s="8"/>
      <c r="E68" s="8"/>
      <c r="F68" s="10"/>
    </row>
    <row r="69" spans="1:7" ht="15" hidden="1">
      <c r="A69" s="6" t="s">
        <v>105</v>
      </c>
      <c r="B69" s="8" t="s">
        <v>117</v>
      </c>
      <c r="C69" s="8"/>
      <c r="D69" s="8"/>
      <c r="E69" s="8"/>
      <c r="F69" s="10"/>
    </row>
    <row r="70" spans="1:7" ht="15" hidden="1">
      <c r="A70" s="6" t="s">
        <v>105</v>
      </c>
      <c r="B70" s="8" t="s">
        <v>118</v>
      </c>
      <c r="C70" s="8"/>
      <c r="D70" s="8"/>
      <c r="E70" s="8"/>
      <c r="F70" s="10"/>
    </row>
    <row r="71" spans="1:7" ht="15" hidden="1">
      <c r="A71" s="6" t="s">
        <v>105</v>
      </c>
      <c r="B71" s="8" t="s">
        <v>119</v>
      </c>
      <c r="C71" s="8"/>
      <c r="D71" s="8"/>
      <c r="E71" s="8"/>
      <c r="F71" s="10"/>
    </row>
    <row r="72" spans="1:7" ht="15.75" hidden="1" customHeight="1">
      <c r="A72" s="6" t="s">
        <v>105</v>
      </c>
      <c r="B72" s="8" t="s">
        <v>120</v>
      </c>
      <c r="C72" s="8"/>
      <c r="D72" s="8"/>
      <c r="E72" s="8"/>
      <c r="F72" s="10"/>
    </row>
    <row r="73" spans="1:7" ht="15.75" hidden="1" customHeight="1">
      <c r="A73" s="6" t="s">
        <v>105</v>
      </c>
      <c r="B73" s="8" t="s">
        <v>121</v>
      </c>
      <c r="C73" s="8"/>
      <c r="D73" s="8"/>
      <c r="E73" s="8"/>
      <c r="F73" s="10"/>
    </row>
    <row r="74" spans="1:7" ht="15.75" hidden="1" customHeight="1">
      <c r="A74" s="6" t="s">
        <v>64</v>
      </c>
      <c r="B74" s="18" t="s">
        <v>129</v>
      </c>
      <c r="D74">
        <v>16000</v>
      </c>
      <c r="F74" s="10" t="s">
        <v>131</v>
      </c>
    </row>
    <row r="76" spans="1:7" ht="15.75" customHeight="1">
      <c r="B76" s="19" t="s">
        <v>138</v>
      </c>
      <c r="C76">
        <v>1</v>
      </c>
      <c r="D76">
        <v>4247</v>
      </c>
      <c r="F76" t="s">
        <v>132</v>
      </c>
      <c r="G76" s="15" t="s">
        <v>122</v>
      </c>
    </row>
    <row r="77" spans="1:7" ht="15.75" customHeight="1">
      <c r="B77" s="19" t="s">
        <v>134</v>
      </c>
      <c r="C77" s="19">
        <v>1</v>
      </c>
      <c r="D77" s="20">
        <v>3200</v>
      </c>
      <c r="F77" s="19" t="s">
        <v>133</v>
      </c>
      <c r="G77" s="15" t="s">
        <v>122</v>
      </c>
    </row>
    <row r="78" spans="1:7" ht="15.75" customHeight="1">
      <c r="B78" s="15" t="s">
        <v>36</v>
      </c>
      <c r="C78">
        <v>1</v>
      </c>
      <c r="D78">
        <v>1750</v>
      </c>
      <c r="F78" t="s">
        <v>137</v>
      </c>
      <c r="G78" s="15" t="s">
        <v>122</v>
      </c>
    </row>
    <row r="79" spans="1:7" ht="15.75" customHeight="1">
      <c r="B79" s="15" t="s">
        <v>139</v>
      </c>
      <c r="C79">
        <v>1</v>
      </c>
      <c r="D79">
        <v>11150</v>
      </c>
      <c r="F79" t="s">
        <v>87</v>
      </c>
      <c r="G79" s="15" t="s">
        <v>122</v>
      </c>
    </row>
  </sheetData>
  <autoFilter ref="A1:G74" xr:uid="{00000000-0009-0000-0000-000000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2696-BFBF-4E3B-A119-67F764DB0435}">
  <dimension ref="A1:H25"/>
  <sheetViews>
    <sheetView tabSelected="1" topLeftCell="A6" workbookViewId="0">
      <selection activeCell="C26" sqref="C26"/>
    </sheetView>
  </sheetViews>
  <sheetFormatPr baseColWidth="10" defaultRowHeight="12.75"/>
  <cols>
    <col min="1" max="1" width="49" bestFit="1" customWidth="1"/>
    <col min="2" max="2" width="10" bestFit="1" customWidth="1"/>
    <col min="3" max="4" width="18" bestFit="1" customWidth="1"/>
    <col min="5" max="5" width="60.5703125" bestFit="1" customWidth="1"/>
    <col min="6" max="6" width="4.42578125" bestFit="1" customWidth="1"/>
    <col min="7" max="7" width="8.5703125" bestFit="1" customWidth="1"/>
  </cols>
  <sheetData>
    <row r="1" spans="1:8" ht="15">
      <c r="A1" s="2" t="s">
        <v>1</v>
      </c>
      <c r="B1" s="3" t="s">
        <v>2</v>
      </c>
      <c r="C1" s="4" t="s">
        <v>3</v>
      </c>
      <c r="D1" s="3" t="s">
        <v>4</v>
      </c>
      <c r="F1" s="5" t="s">
        <v>5</v>
      </c>
    </row>
    <row r="2" spans="1:8" ht="14.25">
      <c r="A2" s="7" t="s">
        <v>7</v>
      </c>
      <c r="B2" s="8">
        <v>1</v>
      </c>
      <c r="C2" s="9">
        <v>3505</v>
      </c>
      <c r="D2" s="8">
        <f>C2+C2*0.5</f>
        <v>5257.5</v>
      </c>
      <c r="E2" s="10" t="s">
        <v>8</v>
      </c>
      <c r="F2" s="15" t="s">
        <v>122</v>
      </c>
    </row>
    <row r="3" spans="1:8" ht="14.25">
      <c r="A3" s="7" t="s">
        <v>18</v>
      </c>
      <c r="B3" s="8">
        <v>1</v>
      </c>
      <c r="C3" s="11">
        <v>3932</v>
      </c>
      <c r="D3" s="8">
        <f t="shared" ref="D3:D21" si="0">C3+C3*0.5</f>
        <v>5898</v>
      </c>
      <c r="E3" s="10" t="s">
        <v>19</v>
      </c>
      <c r="F3" s="15" t="s">
        <v>122</v>
      </c>
    </row>
    <row r="4" spans="1:8" ht="14.25">
      <c r="A4" s="16" t="s">
        <v>124</v>
      </c>
      <c r="B4">
        <v>1</v>
      </c>
      <c r="C4" s="17">
        <v>1500</v>
      </c>
      <c r="D4" s="8">
        <f t="shared" si="0"/>
        <v>2250</v>
      </c>
      <c r="E4" s="10" t="s">
        <v>125</v>
      </c>
      <c r="F4" s="15" t="s">
        <v>122</v>
      </c>
    </row>
    <row r="5" spans="1:8" ht="14.25">
      <c r="A5" s="8" t="s">
        <v>24</v>
      </c>
      <c r="B5" s="8">
        <v>1</v>
      </c>
      <c r="C5" s="9">
        <v>2581</v>
      </c>
      <c r="D5" s="8">
        <f t="shared" si="0"/>
        <v>3871.5</v>
      </c>
      <c r="E5" s="10" t="s">
        <v>25</v>
      </c>
      <c r="F5" s="15" t="s">
        <v>122</v>
      </c>
    </row>
    <row r="6" spans="1:8" ht="14.25">
      <c r="A6" s="8" t="s">
        <v>26</v>
      </c>
      <c r="B6" s="8">
        <v>1</v>
      </c>
      <c r="C6" s="9">
        <v>1263</v>
      </c>
      <c r="D6" s="8">
        <f t="shared" si="0"/>
        <v>1894.5</v>
      </c>
      <c r="E6" s="10" t="s">
        <v>27</v>
      </c>
      <c r="F6" s="15" t="s">
        <v>122</v>
      </c>
    </row>
    <row r="7" spans="1:8" ht="14.25">
      <c r="A7" s="16" t="s">
        <v>127</v>
      </c>
      <c r="B7">
        <v>1</v>
      </c>
      <c r="C7" s="17">
        <v>1300</v>
      </c>
      <c r="D7" s="8">
        <f t="shared" si="0"/>
        <v>1950</v>
      </c>
      <c r="E7" s="10" t="s">
        <v>128</v>
      </c>
      <c r="F7" s="15" t="s">
        <v>122</v>
      </c>
    </row>
    <row r="8" spans="1:8" ht="14.25">
      <c r="A8" s="8" t="s">
        <v>37</v>
      </c>
      <c r="B8" s="8">
        <v>1</v>
      </c>
      <c r="C8" s="9">
        <v>5117</v>
      </c>
      <c r="D8" s="8">
        <f t="shared" si="0"/>
        <v>7675.5</v>
      </c>
      <c r="E8" s="10" t="s">
        <v>38</v>
      </c>
      <c r="F8" s="15" t="s">
        <v>122</v>
      </c>
    </row>
    <row r="9" spans="1:8" ht="14.25">
      <c r="A9" s="8" t="s">
        <v>39</v>
      </c>
      <c r="B9" s="8">
        <v>1</v>
      </c>
      <c r="C9" s="9">
        <v>5019</v>
      </c>
      <c r="D9" s="8">
        <f t="shared" si="0"/>
        <v>7528.5</v>
      </c>
      <c r="E9" s="10" t="s">
        <v>126</v>
      </c>
      <c r="F9" s="15" t="s">
        <v>122</v>
      </c>
    </row>
    <row r="10" spans="1:8" ht="14.25">
      <c r="A10" s="8" t="s">
        <v>43</v>
      </c>
      <c r="B10" s="8">
        <v>1</v>
      </c>
      <c r="C10" s="9">
        <v>2791</v>
      </c>
      <c r="D10" s="8">
        <f t="shared" si="0"/>
        <v>4186.5</v>
      </c>
      <c r="E10" s="10" t="s">
        <v>44</v>
      </c>
      <c r="F10" s="15" t="s">
        <v>122</v>
      </c>
    </row>
    <row r="11" spans="1:8" ht="14.25">
      <c r="A11" s="8" t="s">
        <v>71</v>
      </c>
      <c r="B11" s="8">
        <v>1</v>
      </c>
      <c r="C11" s="9">
        <v>3819</v>
      </c>
      <c r="D11" s="8">
        <f t="shared" si="0"/>
        <v>5728.5</v>
      </c>
      <c r="E11" s="10" t="s">
        <v>72</v>
      </c>
      <c r="F11" s="15" t="s">
        <v>122</v>
      </c>
      <c r="G11" s="15" t="s">
        <v>136</v>
      </c>
      <c r="H11">
        <f>C11/5</f>
        <v>763.8</v>
      </c>
    </row>
    <row r="12" spans="1:8" ht="14.25">
      <c r="A12" s="7" t="s">
        <v>82</v>
      </c>
      <c r="B12" s="8">
        <v>1</v>
      </c>
      <c r="C12" s="9">
        <v>10585</v>
      </c>
      <c r="D12" s="8">
        <f t="shared" si="0"/>
        <v>15877.5</v>
      </c>
      <c r="E12" s="10" t="s">
        <v>83</v>
      </c>
      <c r="F12" t="s">
        <v>122</v>
      </c>
    </row>
    <row r="13" spans="1:8" ht="14.25">
      <c r="A13" s="8" t="s">
        <v>84</v>
      </c>
      <c r="B13" s="8">
        <v>1</v>
      </c>
      <c r="C13" s="9">
        <v>5528</v>
      </c>
      <c r="D13" s="8">
        <f t="shared" si="0"/>
        <v>8292</v>
      </c>
      <c r="E13" s="10" t="s">
        <v>85</v>
      </c>
      <c r="F13" s="15" t="s">
        <v>122</v>
      </c>
    </row>
    <row r="14" spans="1:8" ht="14.25">
      <c r="A14" s="8" t="s">
        <v>88</v>
      </c>
      <c r="B14" s="8">
        <v>1</v>
      </c>
      <c r="C14" s="9">
        <v>2074</v>
      </c>
      <c r="D14" s="8">
        <f t="shared" si="0"/>
        <v>3111</v>
      </c>
      <c r="E14" s="10" t="s">
        <v>89</v>
      </c>
      <c r="F14" s="15" t="s">
        <v>122</v>
      </c>
    </row>
    <row r="15" spans="1:8" ht="14.25">
      <c r="A15" s="8" t="s">
        <v>90</v>
      </c>
      <c r="B15" s="8">
        <v>1</v>
      </c>
      <c r="C15" s="9">
        <v>2728</v>
      </c>
      <c r="D15" s="8">
        <f t="shared" si="0"/>
        <v>4092</v>
      </c>
      <c r="E15" s="10" t="s">
        <v>91</v>
      </c>
      <c r="F15" s="15" t="s">
        <v>122</v>
      </c>
    </row>
    <row r="16" spans="1:8" ht="14.25">
      <c r="A16" s="8" t="s">
        <v>92</v>
      </c>
      <c r="B16" s="8">
        <v>1</v>
      </c>
      <c r="C16" s="9">
        <v>7500</v>
      </c>
      <c r="D16" s="8">
        <f t="shared" si="0"/>
        <v>11250</v>
      </c>
      <c r="E16" s="10" t="s">
        <v>140</v>
      </c>
      <c r="F16" s="15" t="s">
        <v>122</v>
      </c>
      <c r="G16" s="21" t="s">
        <v>135</v>
      </c>
      <c r="H16">
        <f>C16/2</f>
        <v>3750</v>
      </c>
    </row>
    <row r="17" spans="1:6" ht="14.25">
      <c r="A17" s="8" t="s">
        <v>94</v>
      </c>
      <c r="B17" s="8">
        <v>1</v>
      </c>
      <c r="C17" s="9">
        <v>5577</v>
      </c>
      <c r="D17" s="8">
        <f t="shared" si="0"/>
        <v>8365.5</v>
      </c>
      <c r="E17" s="10" t="s">
        <v>123</v>
      </c>
      <c r="F17" s="15" t="s">
        <v>122</v>
      </c>
    </row>
    <row r="18" spans="1:6" ht="14.25">
      <c r="A18" s="19" t="s">
        <v>138</v>
      </c>
      <c r="B18">
        <v>1</v>
      </c>
      <c r="C18">
        <v>4247</v>
      </c>
      <c r="D18" s="8">
        <f t="shared" si="0"/>
        <v>6370.5</v>
      </c>
      <c r="E18" t="s">
        <v>132</v>
      </c>
      <c r="F18" s="15" t="s">
        <v>122</v>
      </c>
    </row>
    <row r="19" spans="1:6" ht="14.25">
      <c r="A19" s="19" t="s">
        <v>134</v>
      </c>
      <c r="B19" s="19">
        <v>1</v>
      </c>
      <c r="C19" s="20">
        <v>3200</v>
      </c>
      <c r="D19" s="8">
        <f t="shared" si="0"/>
        <v>4800</v>
      </c>
      <c r="E19" s="19" t="s">
        <v>133</v>
      </c>
      <c r="F19" s="15" t="s">
        <v>122</v>
      </c>
    </row>
    <row r="20" spans="1:6" ht="14.25">
      <c r="A20" s="15" t="s">
        <v>36</v>
      </c>
      <c r="B20">
        <v>1</v>
      </c>
      <c r="C20">
        <v>1750</v>
      </c>
      <c r="D20" s="8">
        <f t="shared" si="0"/>
        <v>2625</v>
      </c>
      <c r="E20" t="s">
        <v>137</v>
      </c>
      <c r="F20" s="15" t="s">
        <v>122</v>
      </c>
    </row>
    <row r="21" spans="1:6" ht="14.25">
      <c r="A21" s="15" t="s">
        <v>139</v>
      </c>
      <c r="B21">
        <v>1</v>
      </c>
      <c r="C21">
        <v>11150</v>
      </c>
      <c r="D21" s="8">
        <f t="shared" si="0"/>
        <v>16725</v>
      </c>
      <c r="E21" t="s">
        <v>87</v>
      </c>
      <c r="F21" s="15" t="s">
        <v>122</v>
      </c>
    </row>
    <row r="22" spans="1:6" ht="14.25">
      <c r="A22" s="19" t="s">
        <v>141</v>
      </c>
      <c r="C22" s="16">
        <f>SUM(C2:C21)</f>
        <v>85166</v>
      </c>
      <c r="D22" s="16">
        <f>SUM(D2:D21)</f>
        <v>127749</v>
      </c>
    </row>
    <row r="23" spans="1:6" ht="14.25">
      <c r="A23" s="19" t="s">
        <v>142</v>
      </c>
      <c r="C23" s="16">
        <f>C22*100</f>
        <v>8516600</v>
      </c>
      <c r="D23" s="16">
        <f>D22*100</f>
        <v>12774900</v>
      </c>
    </row>
    <row r="24" spans="1:6" ht="14.25">
      <c r="A24" s="19" t="s">
        <v>143</v>
      </c>
      <c r="C24">
        <f>D23-C23</f>
        <v>4258300</v>
      </c>
    </row>
    <row r="25" spans="1:6">
      <c r="C25">
        <f>C24/2</f>
        <v>2129150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Gonzalez</cp:lastModifiedBy>
  <dcterms:modified xsi:type="dcterms:W3CDTF">2026-01-08T00:15:57Z</dcterms:modified>
</cp:coreProperties>
</file>